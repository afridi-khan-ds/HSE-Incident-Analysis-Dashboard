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4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 defaultThemeVersion="124226"/>
  <bookViews>
    <workbookView xWindow="240" yWindow="135" windowWidth="20055" windowHeight="7695" activeTab="1"/>
  </bookViews>
  <sheets>
    <sheet name="Pivot_Analysis" sheetId="5" r:id="rId1"/>
    <sheet name="HSE_Data" sheetId="1" r:id="rId2"/>
    <sheet name="KPI" sheetId="2" r:id="rId3"/>
    <sheet name="Dashboard" sheetId="4" r:id="rId4"/>
  </sheets>
  <calcPr calcId="124519"/>
  <pivotCaches>
    <pivotCache cacheId="0" r:id="rId5"/>
  </pivotCaches>
</workbook>
</file>

<file path=xl/calcChain.xml><?xml version="1.0" encoding="utf-8"?>
<calcChain xmlns="http://schemas.openxmlformats.org/spreadsheetml/2006/main">
  <c r="G4" i="4"/>
  <c r="E4"/>
  <c r="C4"/>
  <c r="A4"/>
  <c r="B4" i="2"/>
  <c r="B5"/>
  <c r="B12" s="1"/>
  <c r="B6"/>
  <c r="B7"/>
  <c r="B8"/>
  <c r="B9"/>
  <c r="B10"/>
  <c r="B11"/>
  <c r="B14"/>
  <c r="B15"/>
  <c r="B16"/>
  <c r="B17"/>
</calcChain>
</file>

<file path=xl/sharedStrings.xml><?xml version="1.0" encoding="utf-8"?>
<sst xmlns="http://schemas.openxmlformats.org/spreadsheetml/2006/main" count="419" uniqueCount="119">
  <si>
    <t>Incident_ID</t>
  </si>
  <si>
    <t>Date</t>
  </si>
  <si>
    <t>Department</t>
  </si>
  <si>
    <t>Location</t>
  </si>
  <si>
    <t>Event_Type</t>
  </si>
  <si>
    <t>Severity</t>
  </si>
  <si>
    <t>Root_Cause</t>
  </si>
  <si>
    <t>Lost_Workdays</t>
  </si>
  <si>
    <t>Action_Status</t>
  </si>
  <si>
    <t>HSE001</t>
  </si>
  <si>
    <t>Production</t>
  </si>
  <si>
    <t>Plant Area</t>
  </si>
  <si>
    <t>Near Miss</t>
  </si>
  <si>
    <t>Low</t>
  </si>
  <si>
    <t>Unsafe Act</t>
  </si>
  <si>
    <t>Closed</t>
  </si>
  <si>
    <t>HSE002</t>
  </si>
  <si>
    <t>Maintenance</t>
  </si>
  <si>
    <t>Workshop</t>
  </si>
  <si>
    <t>First Aid</t>
  </si>
  <si>
    <t>PPE Non-Compliance</t>
  </si>
  <si>
    <t>HSE003</t>
  </si>
  <si>
    <t>Warehouse</t>
  </si>
  <si>
    <t>Poor Housekeeping</t>
  </si>
  <si>
    <t>HSE004</t>
  </si>
  <si>
    <t>Medical Treatment</t>
  </si>
  <si>
    <t>Medium</t>
  </si>
  <si>
    <t>Unsafe Condition</t>
  </si>
  <si>
    <t>HSE005</t>
  </si>
  <si>
    <t>Logistics</t>
  </si>
  <si>
    <t>Loading Bay</t>
  </si>
  <si>
    <t>Property Damage</t>
  </si>
  <si>
    <t>In Progress</t>
  </si>
  <si>
    <t>HSE006</t>
  </si>
  <si>
    <t>Equipment Failure</t>
  </si>
  <si>
    <t>HSE007</t>
  </si>
  <si>
    <t>HSE008</t>
  </si>
  <si>
    <t>HSE009</t>
  </si>
  <si>
    <t>HSE010</t>
  </si>
  <si>
    <t>Utilities</t>
  </si>
  <si>
    <t>HSE011</t>
  </si>
  <si>
    <t>Lost Time Injury</t>
  </si>
  <si>
    <t>High</t>
  </si>
  <si>
    <t>Overdue</t>
  </si>
  <si>
    <t>HSE012</t>
  </si>
  <si>
    <t>HSE013</t>
  </si>
  <si>
    <t>HSE014</t>
  </si>
  <si>
    <t>HSE015</t>
  </si>
  <si>
    <t>HSE016</t>
  </si>
  <si>
    <t>HSE017</t>
  </si>
  <si>
    <t>HSE018</t>
  </si>
  <si>
    <t>HSE019</t>
  </si>
  <si>
    <t>HSE020</t>
  </si>
  <si>
    <t>HSE021</t>
  </si>
  <si>
    <t>HSE022</t>
  </si>
  <si>
    <t>HSE023</t>
  </si>
  <si>
    <t>HSE024</t>
  </si>
  <si>
    <t>HSE025</t>
  </si>
  <si>
    <t>HSE026</t>
  </si>
  <si>
    <t>HSE027</t>
  </si>
  <si>
    <t>HSE028</t>
  </si>
  <si>
    <t>HSE029</t>
  </si>
  <si>
    <t>HSE030</t>
  </si>
  <si>
    <t>HSE031</t>
  </si>
  <si>
    <t>HSE032</t>
  </si>
  <si>
    <t>HSE033</t>
  </si>
  <si>
    <t>HSE034</t>
  </si>
  <si>
    <t>HSE035</t>
  </si>
  <si>
    <t>HSE036</t>
  </si>
  <si>
    <t>HSE037</t>
  </si>
  <si>
    <t>HSE038</t>
  </si>
  <si>
    <t>HSE039</t>
  </si>
  <si>
    <t>HSE040</t>
  </si>
  <si>
    <t>HSE041</t>
  </si>
  <si>
    <t>HSE042</t>
  </si>
  <si>
    <t>HSE043</t>
  </si>
  <si>
    <t>HSE044</t>
  </si>
  <si>
    <t>HSE045</t>
  </si>
  <si>
    <t>HSE046</t>
  </si>
  <si>
    <t>HSE047</t>
  </si>
  <si>
    <t>HSE048</t>
  </si>
  <si>
    <t>HSE049</t>
  </si>
  <si>
    <t>HSE050</t>
  </si>
  <si>
    <t>HSE Safety Performance KPIs</t>
  </si>
  <si>
    <t>KPI</t>
  </si>
  <si>
    <t>Value</t>
  </si>
  <si>
    <t>Total HSE Events</t>
  </si>
  <si>
    <t>Near Misses</t>
  </si>
  <si>
    <t>Lost Time Injuries</t>
  </si>
  <si>
    <t>Total Lost Workdays</t>
  </si>
  <si>
    <t>High Severity Events</t>
  </si>
  <si>
    <t>Open Actions</t>
  </si>
  <si>
    <t>Overdue Actions</t>
  </si>
  <si>
    <t>Closed Actions</t>
  </si>
  <si>
    <t>Data Quality Checks</t>
  </si>
  <si>
    <t>Total Records</t>
  </si>
  <si>
    <t>Duplicate Incident IDs</t>
  </si>
  <si>
    <t>Blank Incident IDs</t>
  </si>
  <si>
    <t>Blank Dates</t>
  </si>
  <si>
    <t>Near Miss Percentage</t>
  </si>
  <si>
    <t>Row Labels</t>
  </si>
  <si>
    <t>Grand Total</t>
  </si>
  <si>
    <t>Count of Incident_ID</t>
  </si>
  <si>
    <t>2025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</si>
  <si>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</si>
  <si>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</si>
  <si>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</si>
  <si>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</si>
  <si>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</si>
  <si>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</si>
  <si>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</si>
  <si>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</si>
  <si>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</si>
  <si>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</si>
  <si>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</si>
  <si>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</si>
  <si>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HSE SAFETY PERFORMANCE DASHBOARD</t>
  </si>
  <si>
    <t>Total Events</t>
  </si>
  <si>
    <t>Lost Workdays</t>
  </si>
</sst>
</file>

<file path=xl/styles.xml><?xml version="1.0" encoding="utf-8"?>
<styleSheet xmlns="http://schemas.openxmlformats.org/spreadsheetml/2006/main">
  <numFmts count="1">
    <numFmt numFmtId="164" formatCode="0.0%"/>
  </numFmts>
  <fonts count="6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1" fontId="0" fillId="0" borderId="0" xfId="0" applyNumberFormat="1" applyAlignment="1">
      <alignment wrapText="1"/>
    </xf>
    <xf numFmtId="1" fontId="0" fillId="0" borderId="0" xfId="0" applyNumberFormat="1"/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2" borderId="1" xfId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 indent="1"/>
    </xf>
    <xf numFmtId="0" fontId="5" fillId="0" borderId="0" xfId="0" applyFont="1"/>
    <xf numFmtId="0" fontId="4" fillId="4" borderId="0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</cellXfs>
  <cellStyles count="2">
    <cellStyle name="Good" xfId="1" builtinId="26"/>
    <cellStyle name="Normal" xfId="0" builtinId="0"/>
  </cellStyles>
  <dxfs count="16">
    <dxf>
      <font>
        <b/>
      </font>
      <alignment horizontal="center" vertical="bottom" textRotation="0" wrapText="0" indent="0" relativeIndent="255" justifyLastLine="0" shrinkToFit="0" mergeCell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bottom" textRotation="0" wrapText="0" indent="0" relativeIndent="255" justifyLastLine="0" shrinkToFit="0" mergeCell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bottom" textRotation="0" wrapText="0" indent="0" relativeIndent="255" justifyLastLine="0" shrinkToFit="0" readingOrder="0"/>
    </dxf>
    <dxf>
      <font>
        <b/>
      </font>
      <alignment horizontal="center" vertical="bottom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numFmt numFmtId="1" formatCode="0"/>
    </dxf>
    <dxf>
      <numFmt numFmtId="19" formatCode="dd/mm/yyyy"/>
    </dxf>
    <dxf>
      <alignment horizontal="general" vertical="bottom" textRotation="0" wrapText="1" indent="0" relativeIndent="0" justifyLastLine="0" shrinkToFit="0" mergeCell="0" readingOrder="0"/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[HSE_Analysis.xlsx]Pivot_Analysis!PivotTable1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Incidents by Department</a:t>
            </a:r>
            <a:endParaRPr lang="en-US"/>
          </a:p>
        </c:rich>
      </c:tx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Pivot_Analysis!$B$3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Pivot_Analysis!$A$4:$A$9</c:f>
              <c:strCache>
                <c:ptCount val="5"/>
                <c:pt idx="0">
                  <c:v>Logistics</c:v>
                </c:pt>
                <c:pt idx="1">
                  <c:v>Maintenance</c:v>
                </c:pt>
                <c:pt idx="2">
                  <c:v>Production</c:v>
                </c:pt>
                <c:pt idx="3">
                  <c:v>Utilities</c:v>
                </c:pt>
                <c:pt idx="4">
                  <c:v>Warehouse</c:v>
                </c:pt>
              </c:strCache>
            </c:strRef>
          </c:cat>
          <c:val>
            <c:numRef>
              <c:f>Pivot_Analysis!$B$4:$B$9</c:f>
              <c:numCache>
                <c:formatCode>General</c:formatCode>
                <c:ptCount val="5"/>
                <c:pt idx="0">
                  <c:v>10</c:v>
                </c:pt>
                <c:pt idx="1">
                  <c:v>11</c:v>
                </c:pt>
                <c:pt idx="2">
                  <c:v>14</c:v>
                </c:pt>
                <c:pt idx="3">
                  <c:v>5</c:v>
                </c:pt>
                <c:pt idx="4">
                  <c:v>10</c:v>
                </c:pt>
              </c:numCache>
            </c:numRef>
          </c:val>
        </c:ser>
        <c:axId val="136852608"/>
        <c:axId val="136854144"/>
      </c:barChart>
      <c:catAx>
        <c:axId val="136852608"/>
        <c:scaling>
          <c:orientation val="minMax"/>
        </c:scaling>
        <c:axPos val="b"/>
        <c:tickLblPos val="nextTo"/>
        <c:crossAx val="136854144"/>
        <c:crosses val="autoZero"/>
        <c:auto val="1"/>
        <c:lblAlgn val="ctr"/>
        <c:lblOffset val="100"/>
      </c:catAx>
      <c:valAx>
        <c:axId val="136854144"/>
        <c:scaling>
          <c:orientation val="minMax"/>
        </c:scaling>
        <c:axPos val="l"/>
        <c:majorGridlines/>
        <c:numFmt formatCode="General" sourceLinked="1"/>
        <c:tickLblPos val="nextTo"/>
        <c:crossAx val="136852608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[HSE_Analysis.xlsx]Pivot_Analysis!PivotTable2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Severity Distribution</a:t>
            </a:r>
            <a:endParaRPr lang="en-US"/>
          </a:p>
        </c:rich>
      </c:tx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doughnutChart>
        <c:varyColors val="1"/>
        <c:ser>
          <c:idx val="0"/>
          <c:order val="0"/>
          <c:tx>
            <c:strRef>
              <c:f>Pivot_Analysis!$F$3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Pivot_Analysis!$E$4:$E$7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Pivot_Analysis!$F$4:$F$7</c:f>
              <c:numCache>
                <c:formatCode>General</c:formatCode>
                <c:ptCount val="3"/>
                <c:pt idx="0">
                  <c:v>3</c:v>
                </c:pt>
                <c:pt idx="1">
                  <c:v>35</c:v>
                </c:pt>
                <c:pt idx="2">
                  <c:v>12</c:v>
                </c:pt>
              </c:numCache>
            </c:numRef>
          </c:val>
        </c:ser>
        <c:firstSliceAng val="0"/>
        <c:holeSize val="50"/>
      </c:doughnutChart>
    </c:plotArea>
    <c:legend>
      <c:legendPos val="r"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[HSE_Analysis.xlsx]Pivot_Analysis!PivotTable3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Incidents by Root Cause</a:t>
            </a:r>
            <a:endParaRPr lang="en-US"/>
          </a:p>
        </c:rich>
      </c:tx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Pivot_Analysis!$J$3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Pivot_Analysis!$I$4:$I$9</c:f>
              <c:strCache>
                <c:ptCount val="5"/>
                <c:pt idx="0">
                  <c:v>Equipment Failure</c:v>
                </c:pt>
                <c:pt idx="1">
                  <c:v>Poor Housekeeping</c:v>
                </c:pt>
                <c:pt idx="2">
                  <c:v>PPE Non-Compliance</c:v>
                </c:pt>
                <c:pt idx="3">
                  <c:v>Unsafe Act</c:v>
                </c:pt>
                <c:pt idx="4">
                  <c:v>Unsafe Condition</c:v>
                </c:pt>
              </c:strCache>
            </c:strRef>
          </c:cat>
          <c:val>
            <c:numRef>
              <c:f>Pivot_Analysis!$J$4:$J$9</c:f>
              <c:numCache>
                <c:formatCode>General</c:formatCode>
                <c:ptCount val="5"/>
                <c:pt idx="0">
                  <c:v>9</c:v>
                </c:pt>
                <c:pt idx="1">
                  <c:v>10</c:v>
                </c:pt>
                <c:pt idx="2">
                  <c:v>8</c:v>
                </c:pt>
                <c:pt idx="3">
                  <c:v>12</c:v>
                </c:pt>
                <c:pt idx="4">
                  <c:v>11</c:v>
                </c:pt>
              </c:numCache>
            </c:numRef>
          </c:val>
        </c:ser>
        <c:axId val="135410432"/>
        <c:axId val="135411968"/>
      </c:barChart>
      <c:catAx>
        <c:axId val="135410432"/>
        <c:scaling>
          <c:orientation val="minMax"/>
        </c:scaling>
        <c:axPos val="l"/>
        <c:tickLblPos val="nextTo"/>
        <c:crossAx val="135411968"/>
        <c:crosses val="autoZero"/>
        <c:auto val="1"/>
        <c:lblAlgn val="ctr"/>
        <c:lblOffset val="100"/>
      </c:catAx>
      <c:valAx>
        <c:axId val="135411968"/>
        <c:scaling>
          <c:orientation val="minMax"/>
        </c:scaling>
        <c:axPos val="b"/>
        <c:majorGridlines/>
        <c:numFmt formatCode="General" sourceLinked="1"/>
        <c:tickLblPos val="nextTo"/>
        <c:crossAx val="135410432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[HSE_Analysis.xlsx]Pivot_Analysis!PivotTable4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Monthly Incident Trend</a:t>
            </a:r>
            <a:endParaRPr lang="en-US"/>
          </a:p>
        </c:rich>
      </c:tx>
    </c:title>
    <c:pivotFmts>
      <c:pivotFmt>
        <c:idx val="0"/>
      </c:pivotFmt>
      <c:pivotFmt>
        <c:idx val="1"/>
      </c:pivotFmt>
      <c:pivotFmt>
        <c:idx val="2"/>
      </c:pivotFmt>
    </c:pivotFmts>
    <c:plotArea>
      <c:layout/>
      <c:lineChart>
        <c:grouping val="standard"/>
        <c:ser>
          <c:idx val="0"/>
          <c:order val="0"/>
          <c:tx>
            <c:strRef>
              <c:f>Pivot_Analysis!$N$2</c:f>
              <c:strCache>
                <c:ptCount val="1"/>
                <c:pt idx="0">
                  <c:v>Total</c:v>
                </c:pt>
              </c:strCache>
            </c:strRef>
          </c:tx>
          <c:cat>
            <c:multiLvlStrRef>
              <c:f>Pivot_Analysis!$M$3:$M$16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Pivot_Analysis!$N$3:$N$16</c:f>
              <c:numCache>
                <c:formatCode>General</c:formatCode>
                <c:ptCount val="12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</c:numCache>
            </c:numRef>
          </c:val>
        </c:ser>
        <c:marker val="1"/>
        <c:axId val="135440256"/>
        <c:axId val="135441792"/>
      </c:lineChart>
      <c:catAx>
        <c:axId val="135440256"/>
        <c:scaling>
          <c:orientation val="minMax"/>
        </c:scaling>
        <c:axPos val="b"/>
        <c:tickLblPos val="nextTo"/>
        <c:crossAx val="135441792"/>
        <c:crosses val="autoZero"/>
        <c:auto val="1"/>
        <c:lblAlgn val="ctr"/>
        <c:lblOffset val="100"/>
      </c:catAx>
      <c:valAx>
        <c:axId val="135441792"/>
        <c:scaling>
          <c:orientation val="minMax"/>
        </c:scaling>
        <c:axPos val="l"/>
        <c:majorGridlines/>
        <c:numFmt formatCode="General" sourceLinked="1"/>
        <c:tickLblPos val="nextTo"/>
        <c:crossAx val="135440256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4</xdr:row>
      <xdr:rowOff>95249</xdr:rowOff>
    </xdr:from>
    <xdr:to>
      <xdr:col>3</xdr:col>
      <xdr:colOff>466725</xdr:colOff>
      <xdr:row>17</xdr:row>
      <xdr:rowOff>123824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66675</xdr:colOff>
      <xdr:row>4</xdr:row>
      <xdr:rowOff>104775</xdr:rowOff>
    </xdr:from>
    <xdr:to>
      <xdr:col>7</xdr:col>
      <xdr:colOff>400050</xdr:colOff>
      <xdr:row>17</xdr:row>
      <xdr:rowOff>123825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171451</xdr:colOff>
      <xdr:row>18</xdr:row>
      <xdr:rowOff>152400</xdr:rowOff>
    </xdr:from>
    <xdr:to>
      <xdr:col>3</xdr:col>
      <xdr:colOff>466725</xdr:colOff>
      <xdr:row>31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66675</xdr:colOff>
      <xdr:row>18</xdr:row>
      <xdr:rowOff>171450</xdr:rowOff>
    </xdr:from>
    <xdr:to>
      <xdr:col>7</xdr:col>
      <xdr:colOff>438150</xdr:colOff>
      <xdr:row>31</xdr:row>
      <xdr:rowOff>38100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304.160428935182" createdVersion="3" refreshedVersion="3" minRefreshableVersion="3" recordCount="50">
  <cacheSource type="worksheet">
    <worksheetSource name="HSE_Data"/>
  </cacheSource>
  <cacheFields count="10">
    <cacheField name="Incident_ID" numFmtId="0">
      <sharedItems count="50">
        <s v="HSE001"/>
        <s v="HSE002"/>
        <s v="HSE003"/>
        <s v="HSE004"/>
        <s v="HSE005"/>
        <s v="HSE006"/>
        <s v="HSE007"/>
        <s v="HSE008"/>
        <s v="HSE009"/>
        <s v="HSE010"/>
        <s v="HSE011"/>
        <s v="HSE012"/>
        <s v="HSE013"/>
        <s v="HSE014"/>
        <s v="HSE015"/>
        <s v="HSE016"/>
        <s v="HSE017"/>
        <s v="HSE018"/>
        <s v="HSE019"/>
        <s v="HSE020"/>
        <s v="HSE021"/>
        <s v="HSE022"/>
        <s v="HSE023"/>
        <s v="HSE024"/>
        <s v="HSE025"/>
        <s v="HSE026"/>
        <s v="HSE027"/>
        <s v="HSE028"/>
        <s v="HSE029"/>
        <s v="HSE030"/>
        <s v="HSE031"/>
        <s v="HSE032"/>
        <s v="HSE033"/>
        <s v="HSE034"/>
        <s v="HSE035"/>
        <s v="HSE036"/>
        <s v="HSE037"/>
        <s v="HSE038"/>
        <s v="HSE039"/>
        <s v="HSE040"/>
        <s v="HSE041"/>
        <s v="HSE042"/>
        <s v="HSE043"/>
        <s v="HSE044"/>
        <s v="HSE045"/>
        <s v="HSE046"/>
        <s v="HSE047"/>
        <s v="HSE048"/>
        <s v="HSE049"/>
        <s v="HSE050"/>
      </sharedItems>
    </cacheField>
    <cacheField name="Date" numFmtId="14">
      <sharedItems containsSemiMixedTypes="0" containsNonDate="0" containsDate="1" containsString="0" minDate="2025-01-01T00:00:00" maxDate="2025-12-23T00:00:00" count="50">
        <d v="2025-01-01T00:00:00"/>
        <d v="2025-01-05T00:00:00"/>
        <d v="2025-01-12T00:00:00"/>
        <d v="2025-01-18T00:00:00"/>
        <d v="2025-01-25T00:00:00"/>
        <d v="2025-02-02T00:00:00"/>
        <d v="2025-02-08T00:00:00"/>
        <d v="2025-02-15T00:00:00"/>
        <d v="2025-02-21T00:00:00"/>
        <d v="2025-02-28T00:00:00"/>
        <d v="2025-03-04T00:00:00"/>
        <d v="2025-03-11T00:00:00"/>
        <d v="2025-03-19T00:00:00"/>
        <d v="2025-03-25T00:00:00"/>
        <d v="2025-04-02T00:00:00"/>
        <d v="2025-04-09T00:00:00"/>
        <d v="2025-04-16T00:00:00"/>
        <d v="2025-04-23T00:00:00"/>
        <d v="2025-05-01T00:00:00"/>
        <d v="2025-05-08T00:00:00"/>
        <d v="2025-05-15T00:00:00"/>
        <d v="2025-05-22T00:00:00"/>
        <d v="2025-06-03T00:00:00"/>
        <d v="2025-06-10T00:00:00"/>
        <d v="2025-06-17T00:00:00"/>
        <d v="2025-06-24T00:00:00"/>
        <d v="2025-07-03T00:00:00"/>
        <d v="2025-07-10T00:00:00"/>
        <d v="2025-07-18T00:00:00"/>
        <d v="2025-07-25T00:00:00"/>
        <d v="2025-08-05T00:00:00"/>
        <d v="2025-08-12T00:00:00"/>
        <d v="2025-08-20T00:00:00"/>
        <d v="2025-08-27T00:00:00"/>
        <d v="2025-09-04T00:00:00"/>
        <d v="2025-09-11T00:00:00"/>
        <d v="2025-09-18T00:00:00"/>
        <d v="2025-09-25T00:00:00"/>
        <d v="2025-10-03T00:00:00"/>
        <d v="2025-10-10T00:00:00"/>
        <d v="2025-10-18T00:00:00"/>
        <d v="2025-10-25T00:00:00"/>
        <d v="2025-11-02T00:00:00"/>
        <d v="2025-11-09T00:00:00"/>
        <d v="2025-11-16T00:00:00"/>
        <d v="2025-11-23T00:00:00"/>
        <d v="2025-12-01T00:00:00"/>
        <d v="2025-12-08T00:00:00"/>
        <d v="2025-12-15T00:00:00"/>
        <d v="2025-12-22T00:00:00"/>
      </sharedItems>
      <fieldGroup par="9" base="1">
        <rangePr groupBy="months" startDate="2025-01-01T00:00:00" endDate="2025-12-23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3-12-2025"/>
        </groupItems>
      </fieldGroup>
    </cacheField>
    <cacheField name="Department" numFmtId="0">
      <sharedItems count="5">
        <s v="Production"/>
        <s v="Maintenance"/>
        <s v="Warehouse"/>
        <s v="Logistics"/>
        <s v="Utilities"/>
      </sharedItems>
    </cacheField>
    <cacheField name="Location" numFmtId="0">
      <sharedItems/>
    </cacheField>
    <cacheField name="Event_Type" numFmtId="0">
      <sharedItems/>
    </cacheField>
    <cacheField name="Severity" numFmtId="0">
      <sharedItems count="3">
        <s v="Low"/>
        <s v="Medium"/>
        <s v="High"/>
      </sharedItems>
    </cacheField>
    <cacheField name="Root_Cause" numFmtId="0">
      <sharedItems count="5">
        <s v="Unsafe Act"/>
        <s v="PPE Non-Compliance"/>
        <s v="Poor Housekeeping"/>
        <s v="Unsafe Condition"/>
        <s v="Equipment Failure"/>
      </sharedItems>
    </cacheField>
    <cacheField name="Lost_Workdays" numFmtId="1">
      <sharedItems containsSemiMixedTypes="0" containsString="0" containsNumber="1" containsInteger="1" minValue="0" maxValue="10"/>
    </cacheField>
    <cacheField name="Action_Status" numFmtId="0">
      <sharedItems/>
    </cacheField>
    <cacheField name="Years" numFmtId="0" databaseField="0">
      <fieldGroup base="1">
        <rangePr groupBy="years" startDate="2025-01-01T00:00:00" endDate="2025-12-23T00:00:00"/>
        <groupItems count="3">
          <s v="&lt;01-01-2025"/>
          <s v="2025"/>
          <s v="&gt;23-12-2025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x v="0"/>
    <x v="0"/>
    <x v="0"/>
    <s v="Plant Area"/>
    <s v="Near Miss"/>
    <x v="0"/>
    <x v="0"/>
    <n v="0"/>
    <s v="Closed"/>
  </r>
  <r>
    <x v="1"/>
    <x v="1"/>
    <x v="1"/>
    <s v="Workshop"/>
    <s v="First Aid"/>
    <x v="0"/>
    <x v="1"/>
    <n v="0"/>
    <s v="Closed"/>
  </r>
  <r>
    <x v="2"/>
    <x v="2"/>
    <x v="2"/>
    <s v="Warehouse"/>
    <s v="Near Miss"/>
    <x v="0"/>
    <x v="2"/>
    <n v="0"/>
    <s v="Closed"/>
  </r>
  <r>
    <x v="3"/>
    <x v="3"/>
    <x v="0"/>
    <s v="Plant Area"/>
    <s v="Medical Treatment"/>
    <x v="1"/>
    <x v="3"/>
    <n v="2"/>
    <s v="Closed"/>
  </r>
  <r>
    <x v="4"/>
    <x v="4"/>
    <x v="3"/>
    <s v="Loading Bay"/>
    <s v="Property Damage"/>
    <x v="1"/>
    <x v="0"/>
    <n v="0"/>
    <s v="In Progress"/>
  </r>
  <r>
    <x v="5"/>
    <x v="5"/>
    <x v="1"/>
    <s v="Workshop"/>
    <s v="Near Miss"/>
    <x v="0"/>
    <x v="4"/>
    <n v="0"/>
    <s v="Closed"/>
  </r>
  <r>
    <x v="6"/>
    <x v="6"/>
    <x v="0"/>
    <s v="Plant Area"/>
    <s v="First Aid"/>
    <x v="0"/>
    <x v="1"/>
    <n v="0"/>
    <s v="Closed"/>
  </r>
  <r>
    <x v="7"/>
    <x v="7"/>
    <x v="2"/>
    <s v="Warehouse"/>
    <s v="Near Miss"/>
    <x v="0"/>
    <x v="2"/>
    <n v="0"/>
    <s v="Closed"/>
  </r>
  <r>
    <x v="8"/>
    <x v="8"/>
    <x v="3"/>
    <s v="Loading Bay"/>
    <s v="Medical Treatment"/>
    <x v="1"/>
    <x v="3"/>
    <n v="1"/>
    <s v="In Progress"/>
  </r>
  <r>
    <x v="9"/>
    <x v="9"/>
    <x v="4"/>
    <s v="Plant Area"/>
    <s v="Near Miss"/>
    <x v="0"/>
    <x v="0"/>
    <n v="0"/>
    <s v="Closed"/>
  </r>
  <r>
    <x v="10"/>
    <x v="10"/>
    <x v="0"/>
    <s v="Plant Area"/>
    <s v="Lost Time Injury"/>
    <x v="2"/>
    <x v="3"/>
    <n v="7"/>
    <s v="Overdue"/>
  </r>
  <r>
    <x v="11"/>
    <x v="11"/>
    <x v="1"/>
    <s v="Workshop"/>
    <s v="Near Miss"/>
    <x v="0"/>
    <x v="4"/>
    <n v="0"/>
    <s v="Closed"/>
  </r>
  <r>
    <x v="12"/>
    <x v="12"/>
    <x v="2"/>
    <s v="Warehouse"/>
    <s v="First Aid"/>
    <x v="0"/>
    <x v="2"/>
    <n v="0"/>
    <s v="Closed"/>
  </r>
  <r>
    <x v="13"/>
    <x v="13"/>
    <x v="3"/>
    <s v="Loading Bay"/>
    <s v="Near Miss"/>
    <x v="0"/>
    <x v="0"/>
    <n v="0"/>
    <s v="Closed"/>
  </r>
  <r>
    <x v="14"/>
    <x v="14"/>
    <x v="0"/>
    <s v="Plant Area"/>
    <s v="Medical Treatment"/>
    <x v="1"/>
    <x v="1"/>
    <n v="2"/>
    <s v="In Progress"/>
  </r>
  <r>
    <x v="15"/>
    <x v="15"/>
    <x v="1"/>
    <s v="Workshop"/>
    <s v="Near Miss"/>
    <x v="0"/>
    <x v="4"/>
    <n v="0"/>
    <s v="Closed"/>
  </r>
  <r>
    <x v="16"/>
    <x v="16"/>
    <x v="2"/>
    <s v="Warehouse"/>
    <s v="Near Miss"/>
    <x v="0"/>
    <x v="2"/>
    <n v="0"/>
    <s v="Closed"/>
  </r>
  <r>
    <x v="17"/>
    <x v="17"/>
    <x v="4"/>
    <s v="Plant Area"/>
    <s v="First Aid"/>
    <x v="0"/>
    <x v="3"/>
    <n v="0"/>
    <s v="Closed"/>
  </r>
  <r>
    <x v="18"/>
    <x v="18"/>
    <x v="0"/>
    <s v="Plant Area"/>
    <s v="Near Miss"/>
    <x v="0"/>
    <x v="0"/>
    <n v="0"/>
    <s v="Closed"/>
  </r>
  <r>
    <x v="19"/>
    <x v="19"/>
    <x v="3"/>
    <s v="Loading Bay"/>
    <s v="Medical Treatment"/>
    <x v="1"/>
    <x v="3"/>
    <n v="3"/>
    <s v="In Progress"/>
  </r>
  <r>
    <x v="20"/>
    <x v="20"/>
    <x v="1"/>
    <s v="Workshop"/>
    <s v="Property Damage"/>
    <x v="1"/>
    <x v="4"/>
    <n v="0"/>
    <s v="Closed"/>
  </r>
  <r>
    <x v="21"/>
    <x v="21"/>
    <x v="2"/>
    <s v="Warehouse"/>
    <s v="Near Miss"/>
    <x v="0"/>
    <x v="2"/>
    <n v="0"/>
    <s v="Closed"/>
  </r>
  <r>
    <x v="22"/>
    <x v="22"/>
    <x v="0"/>
    <s v="Plant Area"/>
    <s v="Near Miss"/>
    <x v="0"/>
    <x v="1"/>
    <n v="0"/>
    <s v="Closed"/>
  </r>
  <r>
    <x v="23"/>
    <x v="23"/>
    <x v="1"/>
    <s v="Workshop"/>
    <s v="First Aid"/>
    <x v="0"/>
    <x v="0"/>
    <n v="0"/>
    <s v="Closed"/>
  </r>
  <r>
    <x v="24"/>
    <x v="24"/>
    <x v="3"/>
    <s v="Loading Bay"/>
    <s v="Near Miss"/>
    <x v="0"/>
    <x v="3"/>
    <n v="0"/>
    <s v="Closed"/>
  </r>
  <r>
    <x v="25"/>
    <x v="25"/>
    <x v="4"/>
    <s v="Plant Area"/>
    <s v="Near Miss"/>
    <x v="0"/>
    <x v="4"/>
    <n v="0"/>
    <s v="Closed"/>
  </r>
  <r>
    <x v="26"/>
    <x v="26"/>
    <x v="0"/>
    <s v="Plant Area"/>
    <s v="Lost Time Injury"/>
    <x v="2"/>
    <x v="0"/>
    <n v="5"/>
    <s v="Overdue"/>
  </r>
  <r>
    <x v="27"/>
    <x v="27"/>
    <x v="2"/>
    <s v="Warehouse"/>
    <s v="First Aid"/>
    <x v="0"/>
    <x v="2"/>
    <n v="0"/>
    <s v="Closed"/>
  </r>
  <r>
    <x v="28"/>
    <x v="28"/>
    <x v="1"/>
    <s v="Workshop"/>
    <s v="Near Miss"/>
    <x v="0"/>
    <x v="1"/>
    <n v="0"/>
    <s v="Closed"/>
  </r>
  <r>
    <x v="29"/>
    <x v="29"/>
    <x v="3"/>
    <s v="Loading Bay"/>
    <s v="Property Damage"/>
    <x v="1"/>
    <x v="0"/>
    <n v="0"/>
    <s v="Closed"/>
  </r>
  <r>
    <x v="30"/>
    <x v="30"/>
    <x v="0"/>
    <s v="Plant Area"/>
    <s v="Medical Treatment"/>
    <x v="1"/>
    <x v="3"/>
    <n v="2"/>
    <s v="In Progress"/>
  </r>
  <r>
    <x v="31"/>
    <x v="31"/>
    <x v="2"/>
    <s v="Warehouse"/>
    <s v="Near Miss"/>
    <x v="0"/>
    <x v="2"/>
    <n v="0"/>
    <s v="Closed"/>
  </r>
  <r>
    <x v="32"/>
    <x v="32"/>
    <x v="1"/>
    <s v="Workshop"/>
    <s v="Near Miss"/>
    <x v="0"/>
    <x v="4"/>
    <n v="0"/>
    <s v="Closed"/>
  </r>
  <r>
    <x v="33"/>
    <x v="33"/>
    <x v="4"/>
    <s v="Plant Area"/>
    <s v="First Aid"/>
    <x v="0"/>
    <x v="1"/>
    <n v="0"/>
    <s v="Closed"/>
  </r>
  <r>
    <x v="34"/>
    <x v="34"/>
    <x v="0"/>
    <s v="Plant Area"/>
    <s v="Near Miss"/>
    <x v="0"/>
    <x v="0"/>
    <n v="0"/>
    <s v="Closed"/>
  </r>
  <r>
    <x v="35"/>
    <x v="35"/>
    <x v="3"/>
    <s v="Loading Bay"/>
    <s v="Medical Treatment"/>
    <x v="1"/>
    <x v="3"/>
    <n v="1"/>
    <s v="In Progress"/>
  </r>
  <r>
    <x v="36"/>
    <x v="36"/>
    <x v="2"/>
    <s v="Warehouse"/>
    <s v="Near Miss"/>
    <x v="0"/>
    <x v="2"/>
    <n v="0"/>
    <s v="Closed"/>
  </r>
  <r>
    <x v="37"/>
    <x v="37"/>
    <x v="1"/>
    <s v="Workshop"/>
    <s v="Near Miss"/>
    <x v="0"/>
    <x v="4"/>
    <n v="0"/>
    <s v="Closed"/>
  </r>
  <r>
    <x v="38"/>
    <x v="38"/>
    <x v="0"/>
    <s v="Plant Area"/>
    <s v="Lost Time Injury"/>
    <x v="2"/>
    <x v="1"/>
    <n v="10"/>
    <s v="Overdue"/>
  </r>
  <r>
    <x v="39"/>
    <x v="39"/>
    <x v="3"/>
    <s v="Loading Bay"/>
    <s v="Near Miss"/>
    <x v="0"/>
    <x v="0"/>
    <n v="0"/>
    <s v="Closed"/>
  </r>
  <r>
    <x v="40"/>
    <x v="40"/>
    <x v="2"/>
    <s v="Warehouse"/>
    <s v="First Aid"/>
    <x v="0"/>
    <x v="2"/>
    <n v="0"/>
    <s v="Closed"/>
  </r>
  <r>
    <x v="41"/>
    <x v="41"/>
    <x v="4"/>
    <s v="Plant Area"/>
    <s v="Near Miss"/>
    <x v="0"/>
    <x v="3"/>
    <n v="0"/>
    <s v="Closed"/>
  </r>
  <r>
    <x v="42"/>
    <x v="42"/>
    <x v="0"/>
    <s v="Plant Area"/>
    <s v="Medical Treatment"/>
    <x v="1"/>
    <x v="3"/>
    <n v="2"/>
    <s v="In Progress"/>
  </r>
  <r>
    <x v="43"/>
    <x v="43"/>
    <x v="1"/>
    <s v="Workshop"/>
    <s v="Near Miss"/>
    <x v="0"/>
    <x v="4"/>
    <n v="0"/>
    <s v="Closed"/>
  </r>
  <r>
    <x v="44"/>
    <x v="44"/>
    <x v="3"/>
    <s v="Loading Bay"/>
    <s v="Property Damage"/>
    <x v="1"/>
    <x v="0"/>
    <n v="0"/>
    <s v="Closed"/>
  </r>
  <r>
    <x v="45"/>
    <x v="45"/>
    <x v="2"/>
    <s v="Warehouse"/>
    <s v="Near Miss"/>
    <x v="0"/>
    <x v="2"/>
    <n v="0"/>
    <s v="Closed"/>
  </r>
  <r>
    <x v="46"/>
    <x v="46"/>
    <x v="0"/>
    <s v="Plant Area"/>
    <s v="First Aid"/>
    <x v="0"/>
    <x v="1"/>
    <n v="0"/>
    <s v="Closed"/>
  </r>
  <r>
    <x v="47"/>
    <x v="47"/>
    <x v="1"/>
    <s v="Workshop"/>
    <s v="Near Miss"/>
    <x v="0"/>
    <x v="4"/>
    <n v="0"/>
    <s v="Closed"/>
  </r>
  <r>
    <x v="48"/>
    <x v="48"/>
    <x v="3"/>
    <s v="Loading Bay"/>
    <s v="Medical Treatment"/>
    <x v="1"/>
    <x v="3"/>
    <n v="2"/>
    <s v="In Progress"/>
  </r>
  <r>
    <x v="49"/>
    <x v="49"/>
    <x v="0"/>
    <s v="Plant Area"/>
    <s v="Near Miss"/>
    <x v="0"/>
    <x v="0"/>
    <n v="0"/>
    <s v="Clos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E3:F7" firstHeaderRow="1" firstDataRow="1" firstDataCol="1"/>
  <pivotFields count="10">
    <pivotField dataField="1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numFmtId="1" showAll="0"/>
    <pivotField showAll="0"/>
    <pivotField showAll="0" defaultSubtotal="0">
      <items count="3">
        <item x="0"/>
        <item x="1"/>
        <item x="2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Incident_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:B9" firstHeaderRow="1" firstDataRow="1" firstDataCol="1"/>
  <pivotFields count="10">
    <pivotField dataField="1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6">
        <item x="3"/>
        <item x="1"/>
        <item x="0"/>
        <item x="4"/>
        <item x="2"/>
        <item t="default"/>
      </items>
    </pivotField>
    <pivotField showAll="0"/>
    <pivotField showAll="0"/>
    <pivotField showAll="0"/>
    <pivotField showAll="0"/>
    <pivotField numFmtId="1" showAll="0"/>
    <pivotField showAll="0"/>
    <pivotField showAll="0" defaultSubtotal="0">
      <items count="3">
        <item x="0"/>
        <item x="1"/>
        <item x="2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Incident_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M2:N16" firstHeaderRow="1" firstDataRow="1" firstDataCol="1"/>
  <pivotFields count="10">
    <pivotField dataField="1"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numFmtId="1" showAll="0"/>
    <pivotField showAll="0"/>
    <pivotField axis="axisRow" showAll="0" defaultSubtotal="0">
      <items count="3">
        <item x="0"/>
        <item x="1"/>
        <item x="2"/>
      </items>
    </pivotField>
  </pivotFields>
  <rowFields count="2">
    <field x="9"/>
    <field x="1"/>
  </rowFields>
  <rowItems count="14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Count of Incident_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I3:J9" firstHeaderRow="1" firstDataRow="1" firstDataCol="1"/>
  <pivotFields count="10">
    <pivotField dataField="1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axis="axisRow" showAll="0">
      <items count="6">
        <item x="4"/>
        <item x="2"/>
        <item x="1"/>
        <item x="0"/>
        <item x="3"/>
        <item t="default"/>
      </items>
    </pivotField>
    <pivotField numFmtId="1" showAll="0"/>
    <pivotField showAll="0"/>
    <pivotField showAll="0" defaultSubtotal="0">
      <items count="3">
        <item x="0"/>
        <item x="1"/>
        <item x="2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Incident_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HSE_Data" displayName="HSE_Data" ref="A1:I51" totalsRowShown="0" headerRowDxfId="8">
  <autoFilter ref="A1:I51"/>
  <tableColumns count="9">
    <tableColumn id="1" name="Incident_ID"/>
    <tableColumn id="2" name="Date" dataDxfId="7"/>
    <tableColumn id="3" name="Department"/>
    <tableColumn id="4" name="Location"/>
    <tableColumn id="5" name="Event_Type"/>
    <tableColumn id="6" name="Severity"/>
    <tableColumn id="7" name="Root_Cause"/>
    <tableColumn id="8" name="Lost_Workdays" dataDxfId="6"/>
    <tableColumn id="9" name="Action_Statu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3:B12" totalsRowShown="0" headerRowDxfId="3" dataDxfId="2">
  <autoFilter ref="A3:B12"/>
  <tableColumns count="2">
    <tableColumn id="1" name="KPI" dataDxfId="1"/>
    <tableColumn id="2" name="Valu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N16"/>
  <sheetViews>
    <sheetView topLeftCell="I1" workbookViewId="0">
      <selection activeCell="G10" sqref="G10"/>
    </sheetView>
  </sheetViews>
  <sheetFormatPr defaultRowHeight="15"/>
  <cols>
    <col min="1" max="1" width="12.5703125" bestFit="1" customWidth="1"/>
    <col min="2" max="2" width="19.42578125" bestFit="1" customWidth="1"/>
    <col min="3" max="3" width="7.28515625" customWidth="1"/>
    <col min="4" max="4" width="7.42578125" customWidth="1"/>
    <col min="5" max="5" width="11.28515625" bestFit="1" customWidth="1"/>
    <col min="6" max="6" width="19.42578125" bestFit="1" customWidth="1"/>
    <col min="7" max="7" width="9" customWidth="1"/>
    <col min="8" max="8" width="8.5703125" customWidth="1"/>
    <col min="9" max="9" width="19.85546875" bestFit="1" customWidth="1"/>
    <col min="10" max="10" width="19.42578125" bestFit="1" customWidth="1"/>
    <col min="11" max="12" width="7.28515625" customWidth="1"/>
    <col min="13" max="13" width="13.140625" bestFit="1" customWidth="1"/>
    <col min="14" max="14" width="19.42578125" bestFit="1" customWidth="1"/>
    <col min="15" max="51" width="7.28515625" customWidth="1"/>
    <col min="52" max="52" width="11.28515625" bestFit="1" customWidth="1"/>
  </cols>
  <sheetData>
    <row r="2" spans="1:14">
      <c r="M2" s="10" t="s">
        <v>100</v>
      </c>
      <c r="N2" t="s">
        <v>102</v>
      </c>
    </row>
    <row r="3" spans="1:14">
      <c r="A3" s="10" t="s">
        <v>100</v>
      </c>
      <c r="B3" t="s">
        <v>102</v>
      </c>
      <c r="E3" s="10" t="s">
        <v>100</v>
      </c>
      <c r="F3" t="s">
        <v>102</v>
      </c>
      <c r="I3" s="10" t="s">
        <v>100</v>
      </c>
      <c r="J3" t="s">
        <v>102</v>
      </c>
      <c r="M3" s="11" t="s">
        <v>103</v>
      </c>
      <c r="N3" s="12"/>
    </row>
    <row r="4" spans="1:14">
      <c r="A4" s="11" t="s">
        <v>29</v>
      </c>
      <c r="B4" s="12">
        <v>10</v>
      </c>
      <c r="E4" s="11" t="s">
        <v>42</v>
      </c>
      <c r="F4" s="12">
        <v>3</v>
      </c>
      <c r="I4" s="11" t="s">
        <v>34</v>
      </c>
      <c r="J4" s="12">
        <v>9</v>
      </c>
      <c r="M4" s="13" t="s">
        <v>104</v>
      </c>
      <c r="N4" s="12">
        <v>5</v>
      </c>
    </row>
    <row r="5" spans="1:14">
      <c r="A5" s="11" t="s">
        <v>17</v>
      </c>
      <c r="B5" s="12">
        <v>11</v>
      </c>
      <c r="E5" s="11" t="s">
        <v>13</v>
      </c>
      <c r="F5" s="12">
        <v>35</v>
      </c>
      <c r="I5" s="11" t="s">
        <v>23</v>
      </c>
      <c r="J5" s="12">
        <v>10</v>
      </c>
      <c r="M5" s="13" t="s">
        <v>105</v>
      </c>
      <c r="N5" s="12">
        <v>5</v>
      </c>
    </row>
    <row r="6" spans="1:14">
      <c r="A6" s="11" t="s">
        <v>10</v>
      </c>
      <c r="B6" s="12">
        <v>14</v>
      </c>
      <c r="E6" s="11" t="s">
        <v>26</v>
      </c>
      <c r="F6" s="12">
        <v>12</v>
      </c>
      <c r="I6" s="11" t="s">
        <v>20</v>
      </c>
      <c r="J6" s="12">
        <v>8</v>
      </c>
      <c r="M6" s="13" t="s">
        <v>106</v>
      </c>
      <c r="N6" s="12">
        <v>4</v>
      </c>
    </row>
    <row r="7" spans="1:14">
      <c r="A7" s="11" t="s">
        <v>39</v>
      </c>
      <c r="B7" s="12">
        <v>5</v>
      </c>
      <c r="E7" s="11" t="s">
        <v>101</v>
      </c>
      <c r="F7" s="12">
        <v>50</v>
      </c>
      <c r="I7" s="11" t="s">
        <v>14</v>
      </c>
      <c r="J7" s="12">
        <v>12</v>
      </c>
      <c r="M7" s="13" t="s">
        <v>107</v>
      </c>
      <c r="N7" s="12">
        <v>4</v>
      </c>
    </row>
    <row r="8" spans="1:14">
      <c r="A8" s="11" t="s">
        <v>22</v>
      </c>
      <c r="B8" s="12">
        <v>10</v>
      </c>
      <c r="I8" s="11" t="s">
        <v>27</v>
      </c>
      <c r="J8" s="12">
        <v>11</v>
      </c>
      <c r="M8" s="13" t="s">
        <v>108</v>
      </c>
      <c r="N8" s="12">
        <v>4</v>
      </c>
    </row>
    <row r="9" spans="1:14">
      <c r="A9" s="11" t="s">
        <v>101</v>
      </c>
      <c r="B9" s="12">
        <v>50</v>
      </c>
      <c r="I9" s="11" t="s">
        <v>101</v>
      </c>
      <c r="J9" s="12">
        <v>50</v>
      </c>
      <c r="M9" s="13" t="s">
        <v>109</v>
      </c>
      <c r="N9" s="12">
        <v>4</v>
      </c>
    </row>
    <row r="10" spans="1:14">
      <c r="M10" s="13" t="s">
        <v>110</v>
      </c>
      <c r="N10" s="12">
        <v>4</v>
      </c>
    </row>
    <row r="11" spans="1:14">
      <c r="M11" s="13" t="s">
        <v>111</v>
      </c>
      <c r="N11" s="12">
        <v>4</v>
      </c>
    </row>
    <row r="12" spans="1:14">
      <c r="M12" s="13" t="s">
        <v>112</v>
      </c>
      <c r="N12" s="12">
        <v>4</v>
      </c>
    </row>
    <row r="13" spans="1:14">
      <c r="M13" s="13" t="s">
        <v>113</v>
      </c>
      <c r="N13" s="12">
        <v>4</v>
      </c>
    </row>
    <row r="14" spans="1:14">
      <c r="M14" s="13" t="s">
        <v>114</v>
      </c>
      <c r="N14" s="12">
        <v>4</v>
      </c>
    </row>
    <row r="15" spans="1:14">
      <c r="M15" s="13" t="s">
        <v>115</v>
      </c>
      <c r="N15" s="12">
        <v>4</v>
      </c>
    </row>
    <row r="16" spans="1:14">
      <c r="M16" s="11" t="s">
        <v>101</v>
      </c>
      <c r="N16" s="12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1"/>
  <sheetViews>
    <sheetView tabSelected="1" topLeftCell="C1" workbookViewId="0">
      <pane ySplit="1" topLeftCell="A33" activePane="bottomLeft" state="frozen"/>
      <selection pane="bottomLeft" activeCell="L22" sqref="L22"/>
    </sheetView>
  </sheetViews>
  <sheetFormatPr defaultRowHeight="15"/>
  <cols>
    <col min="1" max="1" width="13.28515625" customWidth="1"/>
    <col min="2" max="2" width="10.42578125" bestFit="1" customWidth="1"/>
    <col min="3" max="3" width="13.85546875" customWidth="1"/>
    <col min="4" max="4" width="10.5703125" customWidth="1"/>
    <col min="5" max="5" width="13.42578125" customWidth="1"/>
    <col min="6" max="6" width="10.42578125" customWidth="1"/>
    <col min="7" max="7" width="13.5703125" customWidth="1"/>
    <col min="8" max="8" width="16.42578125" style="4" customWidth="1"/>
    <col min="9" max="9" width="15.285156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</row>
    <row r="2" spans="1:9">
      <c r="A2" t="s">
        <v>9</v>
      </c>
      <c r="B2" s="2">
        <v>45658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s="4">
        <v>0</v>
      </c>
      <c r="I2" t="s">
        <v>15</v>
      </c>
    </row>
    <row r="3" spans="1:9">
      <c r="A3" t="s">
        <v>16</v>
      </c>
      <c r="B3" s="2">
        <v>45662</v>
      </c>
      <c r="C3" t="s">
        <v>17</v>
      </c>
      <c r="D3" t="s">
        <v>18</v>
      </c>
      <c r="E3" t="s">
        <v>19</v>
      </c>
      <c r="F3" t="s">
        <v>13</v>
      </c>
      <c r="G3" t="s">
        <v>20</v>
      </c>
      <c r="H3" s="4">
        <v>0</v>
      </c>
      <c r="I3" t="s">
        <v>15</v>
      </c>
    </row>
    <row r="4" spans="1:9">
      <c r="A4" t="s">
        <v>21</v>
      </c>
      <c r="B4" s="2">
        <v>45669</v>
      </c>
      <c r="C4" t="s">
        <v>22</v>
      </c>
      <c r="D4" t="s">
        <v>22</v>
      </c>
      <c r="E4" t="s">
        <v>12</v>
      </c>
      <c r="F4" t="s">
        <v>13</v>
      </c>
      <c r="G4" t="s">
        <v>23</v>
      </c>
      <c r="H4" s="4">
        <v>0</v>
      </c>
      <c r="I4" t="s">
        <v>15</v>
      </c>
    </row>
    <row r="5" spans="1:9">
      <c r="A5" t="s">
        <v>24</v>
      </c>
      <c r="B5" s="2">
        <v>45675</v>
      </c>
      <c r="C5" t="s">
        <v>10</v>
      </c>
      <c r="D5" t="s">
        <v>11</v>
      </c>
      <c r="E5" t="s">
        <v>25</v>
      </c>
      <c r="F5" t="s">
        <v>26</v>
      </c>
      <c r="G5" t="s">
        <v>27</v>
      </c>
      <c r="H5" s="4">
        <v>2</v>
      </c>
      <c r="I5" t="s">
        <v>15</v>
      </c>
    </row>
    <row r="6" spans="1:9">
      <c r="A6" t="s">
        <v>28</v>
      </c>
      <c r="B6" s="2">
        <v>45682</v>
      </c>
      <c r="C6" t="s">
        <v>29</v>
      </c>
      <c r="D6" t="s">
        <v>30</v>
      </c>
      <c r="E6" t="s">
        <v>31</v>
      </c>
      <c r="F6" t="s">
        <v>26</v>
      </c>
      <c r="G6" t="s">
        <v>14</v>
      </c>
      <c r="H6" s="4">
        <v>0</v>
      </c>
      <c r="I6" t="s">
        <v>32</v>
      </c>
    </row>
    <row r="7" spans="1:9">
      <c r="A7" t="s">
        <v>33</v>
      </c>
      <c r="B7" s="2">
        <v>45690</v>
      </c>
      <c r="C7" t="s">
        <v>17</v>
      </c>
      <c r="D7" t="s">
        <v>18</v>
      </c>
      <c r="E7" t="s">
        <v>12</v>
      </c>
      <c r="F7" t="s">
        <v>13</v>
      </c>
      <c r="G7" t="s">
        <v>34</v>
      </c>
      <c r="H7" s="4">
        <v>0</v>
      </c>
      <c r="I7" t="s">
        <v>15</v>
      </c>
    </row>
    <row r="8" spans="1:9">
      <c r="A8" t="s">
        <v>35</v>
      </c>
      <c r="B8" s="2">
        <v>45696</v>
      </c>
      <c r="C8" t="s">
        <v>10</v>
      </c>
      <c r="D8" t="s">
        <v>11</v>
      </c>
      <c r="E8" t="s">
        <v>19</v>
      </c>
      <c r="F8" t="s">
        <v>13</v>
      </c>
      <c r="G8" t="s">
        <v>20</v>
      </c>
      <c r="H8" s="4">
        <v>0</v>
      </c>
      <c r="I8" t="s">
        <v>15</v>
      </c>
    </row>
    <row r="9" spans="1:9">
      <c r="A9" t="s">
        <v>36</v>
      </c>
      <c r="B9" s="2">
        <v>45703</v>
      </c>
      <c r="C9" t="s">
        <v>22</v>
      </c>
      <c r="D9" t="s">
        <v>22</v>
      </c>
      <c r="E9" t="s">
        <v>12</v>
      </c>
      <c r="F9" t="s">
        <v>13</v>
      </c>
      <c r="G9" t="s">
        <v>23</v>
      </c>
      <c r="H9" s="4">
        <v>0</v>
      </c>
      <c r="I9" t="s">
        <v>15</v>
      </c>
    </row>
    <row r="10" spans="1:9">
      <c r="A10" t="s">
        <v>37</v>
      </c>
      <c r="B10" s="2">
        <v>45709</v>
      </c>
      <c r="C10" t="s">
        <v>29</v>
      </c>
      <c r="D10" t="s">
        <v>30</v>
      </c>
      <c r="E10" t="s">
        <v>25</v>
      </c>
      <c r="F10" t="s">
        <v>26</v>
      </c>
      <c r="G10" t="s">
        <v>27</v>
      </c>
      <c r="H10" s="4">
        <v>1</v>
      </c>
      <c r="I10" t="s">
        <v>32</v>
      </c>
    </row>
    <row r="11" spans="1:9">
      <c r="A11" t="s">
        <v>38</v>
      </c>
      <c r="B11" s="2">
        <v>45716</v>
      </c>
      <c r="C11" t="s">
        <v>39</v>
      </c>
      <c r="D11" t="s">
        <v>11</v>
      </c>
      <c r="E11" t="s">
        <v>12</v>
      </c>
      <c r="F11" t="s">
        <v>13</v>
      </c>
      <c r="G11" t="s">
        <v>14</v>
      </c>
      <c r="H11" s="4">
        <v>0</v>
      </c>
      <c r="I11" t="s">
        <v>15</v>
      </c>
    </row>
    <row r="12" spans="1:9">
      <c r="A12" t="s">
        <v>40</v>
      </c>
      <c r="B12" s="2">
        <v>45720</v>
      </c>
      <c r="C12" t="s">
        <v>10</v>
      </c>
      <c r="D12" t="s">
        <v>11</v>
      </c>
      <c r="E12" t="s">
        <v>41</v>
      </c>
      <c r="F12" t="s">
        <v>42</v>
      </c>
      <c r="G12" t="s">
        <v>27</v>
      </c>
      <c r="H12" s="4">
        <v>7</v>
      </c>
      <c r="I12" t="s">
        <v>43</v>
      </c>
    </row>
    <row r="13" spans="1:9">
      <c r="A13" t="s">
        <v>44</v>
      </c>
      <c r="B13" s="2">
        <v>45727</v>
      </c>
      <c r="C13" t="s">
        <v>17</v>
      </c>
      <c r="D13" t="s">
        <v>18</v>
      </c>
      <c r="E13" t="s">
        <v>12</v>
      </c>
      <c r="F13" t="s">
        <v>13</v>
      </c>
      <c r="G13" t="s">
        <v>34</v>
      </c>
      <c r="H13" s="4">
        <v>0</v>
      </c>
      <c r="I13" t="s">
        <v>15</v>
      </c>
    </row>
    <row r="14" spans="1:9">
      <c r="A14" t="s">
        <v>45</v>
      </c>
      <c r="B14" s="2">
        <v>45735</v>
      </c>
      <c r="C14" t="s">
        <v>22</v>
      </c>
      <c r="D14" t="s">
        <v>22</v>
      </c>
      <c r="E14" t="s">
        <v>19</v>
      </c>
      <c r="F14" t="s">
        <v>13</v>
      </c>
      <c r="G14" t="s">
        <v>23</v>
      </c>
      <c r="H14" s="4">
        <v>0</v>
      </c>
      <c r="I14" t="s">
        <v>15</v>
      </c>
    </row>
    <row r="15" spans="1:9">
      <c r="A15" t="s">
        <v>46</v>
      </c>
      <c r="B15" s="2">
        <v>45741</v>
      </c>
      <c r="C15" t="s">
        <v>29</v>
      </c>
      <c r="D15" t="s">
        <v>30</v>
      </c>
      <c r="E15" t="s">
        <v>12</v>
      </c>
      <c r="F15" t="s">
        <v>13</v>
      </c>
      <c r="G15" t="s">
        <v>14</v>
      </c>
      <c r="H15" s="4">
        <v>0</v>
      </c>
      <c r="I15" t="s">
        <v>15</v>
      </c>
    </row>
    <row r="16" spans="1:9">
      <c r="A16" t="s">
        <v>47</v>
      </c>
      <c r="B16" s="2">
        <v>45749</v>
      </c>
      <c r="C16" t="s">
        <v>10</v>
      </c>
      <c r="D16" t="s">
        <v>11</v>
      </c>
      <c r="E16" t="s">
        <v>25</v>
      </c>
      <c r="F16" t="s">
        <v>26</v>
      </c>
      <c r="G16" t="s">
        <v>20</v>
      </c>
      <c r="H16" s="4">
        <v>2</v>
      </c>
      <c r="I16" t="s">
        <v>32</v>
      </c>
    </row>
    <row r="17" spans="1:9">
      <c r="A17" t="s">
        <v>48</v>
      </c>
      <c r="B17" s="2">
        <v>45756</v>
      </c>
      <c r="C17" t="s">
        <v>17</v>
      </c>
      <c r="D17" t="s">
        <v>18</v>
      </c>
      <c r="E17" t="s">
        <v>12</v>
      </c>
      <c r="F17" t="s">
        <v>13</v>
      </c>
      <c r="G17" t="s">
        <v>34</v>
      </c>
      <c r="H17" s="4">
        <v>0</v>
      </c>
      <c r="I17" t="s">
        <v>15</v>
      </c>
    </row>
    <row r="18" spans="1:9">
      <c r="A18" t="s">
        <v>49</v>
      </c>
      <c r="B18" s="2">
        <v>45763</v>
      </c>
      <c r="C18" t="s">
        <v>22</v>
      </c>
      <c r="D18" t="s">
        <v>22</v>
      </c>
      <c r="E18" t="s">
        <v>12</v>
      </c>
      <c r="F18" t="s">
        <v>13</v>
      </c>
      <c r="G18" t="s">
        <v>23</v>
      </c>
      <c r="H18" s="4">
        <v>0</v>
      </c>
      <c r="I18" t="s">
        <v>15</v>
      </c>
    </row>
    <row r="19" spans="1:9">
      <c r="A19" t="s">
        <v>50</v>
      </c>
      <c r="B19" s="2">
        <v>45770</v>
      </c>
      <c r="C19" t="s">
        <v>39</v>
      </c>
      <c r="D19" t="s">
        <v>11</v>
      </c>
      <c r="E19" t="s">
        <v>19</v>
      </c>
      <c r="F19" t="s">
        <v>13</v>
      </c>
      <c r="G19" t="s">
        <v>27</v>
      </c>
      <c r="H19" s="4">
        <v>0</v>
      </c>
      <c r="I19" t="s">
        <v>15</v>
      </c>
    </row>
    <row r="20" spans="1:9">
      <c r="A20" t="s">
        <v>51</v>
      </c>
      <c r="B20" s="2">
        <v>45778</v>
      </c>
      <c r="C20" t="s">
        <v>10</v>
      </c>
      <c r="D20" t="s">
        <v>11</v>
      </c>
      <c r="E20" t="s">
        <v>12</v>
      </c>
      <c r="F20" t="s">
        <v>13</v>
      </c>
      <c r="G20" t="s">
        <v>14</v>
      </c>
      <c r="H20" s="4">
        <v>0</v>
      </c>
      <c r="I20" t="s">
        <v>15</v>
      </c>
    </row>
    <row r="21" spans="1:9">
      <c r="A21" t="s">
        <v>52</v>
      </c>
      <c r="B21" s="2">
        <v>45785</v>
      </c>
      <c r="C21" t="s">
        <v>29</v>
      </c>
      <c r="D21" t="s">
        <v>30</v>
      </c>
      <c r="E21" t="s">
        <v>25</v>
      </c>
      <c r="F21" t="s">
        <v>26</v>
      </c>
      <c r="G21" t="s">
        <v>27</v>
      </c>
      <c r="H21" s="4">
        <v>3</v>
      </c>
      <c r="I21" t="s">
        <v>32</v>
      </c>
    </row>
    <row r="22" spans="1:9">
      <c r="A22" t="s">
        <v>53</v>
      </c>
      <c r="B22" s="2">
        <v>45792</v>
      </c>
      <c r="C22" t="s">
        <v>17</v>
      </c>
      <c r="D22" t="s">
        <v>18</v>
      </c>
      <c r="E22" t="s">
        <v>31</v>
      </c>
      <c r="F22" t="s">
        <v>26</v>
      </c>
      <c r="G22" t="s">
        <v>34</v>
      </c>
      <c r="H22" s="4">
        <v>0</v>
      </c>
      <c r="I22" t="s">
        <v>15</v>
      </c>
    </row>
    <row r="23" spans="1:9">
      <c r="A23" t="s">
        <v>54</v>
      </c>
      <c r="B23" s="2">
        <v>45799</v>
      </c>
      <c r="C23" t="s">
        <v>22</v>
      </c>
      <c r="D23" t="s">
        <v>22</v>
      </c>
      <c r="E23" t="s">
        <v>12</v>
      </c>
      <c r="F23" t="s">
        <v>13</v>
      </c>
      <c r="G23" t="s">
        <v>23</v>
      </c>
      <c r="H23" s="4">
        <v>0</v>
      </c>
      <c r="I23" t="s">
        <v>15</v>
      </c>
    </row>
    <row r="24" spans="1:9">
      <c r="A24" t="s">
        <v>55</v>
      </c>
      <c r="B24" s="2">
        <v>45811</v>
      </c>
      <c r="C24" t="s">
        <v>10</v>
      </c>
      <c r="D24" t="s">
        <v>11</v>
      </c>
      <c r="E24" t="s">
        <v>12</v>
      </c>
      <c r="F24" t="s">
        <v>13</v>
      </c>
      <c r="G24" t="s">
        <v>20</v>
      </c>
      <c r="H24" s="4">
        <v>0</v>
      </c>
      <c r="I24" t="s">
        <v>15</v>
      </c>
    </row>
    <row r="25" spans="1:9">
      <c r="A25" t="s">
        <v>56</v>
      </c>
      <c r="B25" s="2">
        <v>45818</v>
      </c>
      <c r="C25" t="s">
        <v>17</v>
      </c>
      <c r="D25" t="s">
        <v>18</v>
      </c>
      <c r="E25" t="s">
        <v>19</v>
      </c>
      <c r="F25" t="s">
        <v>13</v>
      </c>
      <c r="G25" t="s">
        <v>14</v>
      </c>
      <c r="H25" s="4">
        <v>0</v>
      </c>
      <c r="I25" t="s">
        <v>15</v>
      </c>
    </row>
    <row r="26" spans="1:9">
      <c r="A26" t="s">
        <v>57</v>
      </c>
      <c r="B26" s="2">
        <v>45825</v>
      </c>
      <c r="C26" t="s">
        <v>29</v>
      </c>
      <c r="D26" t="s">
        <v>30</v>
      </c>
      <c r="E26" t="s">
        <v>12</v>
      </c>
      <c r="F26" t="s">
        <v>13</v>
      </c>
      <c r="G26" t="s">
        <v>27</v>
      </c>
      <c r="H26" s="4">
        <v>0</v>
      </c>
      <c r="I26" t="s">
        <v>15</v>
      </c>
    </row>
    <row r="27" spans="1:9">
      <c r="A27" t="s">
        <v>58</v>
      </c>
      <c r="B27" s="2">
        <v>45832</v>
      </c>
      <c r="C27" t="s">
        <v>39</v>
      </c>
      <c r="D27" t="s">
        <v>11</v>
      </c>
      <c r="E27" t="s">
        <v>12</v>
      </c>
      <c r="F27" t="s">
        <v>13</v>
      </c>
      <c r="G27" t="s">
        <v>34</v>
      </c>
      <c r="H27" s="4">
        <v>0</v>
      </c>
      <c r="I27" t="s">
        <v>15</v>
      </c>
    </row>
    <row r="28" spans="1:9">
      <c r="A28" t="s">
        <v>59</v>
      </c>
      <c r="B28" s="2">
        <v>45841</v>
      </c>
      <c r="C28" t="s">
        <v>10</v>
      </c>
      <c r="D28" t="s">
        <v>11</v>
      </c>
      <c r="E28" t="s">
        <v>41</v>
      </c>
      <c r="F28" t="s">
        <v>42</v>
      </c>
      <c r="G28" t="s">
        <v>14</v>
      </c>
      <c r="H28" s="4">
        <v>5</v>
      </c>
      <c r="I28" t="s">
        <v>43</v>
      </c>
    </row>
    <row r="29" spans="1:9">
      <c r="A29" t="s">
        <v>60</v>
      </c>
      <c r="B29" s="2">
        <v>45848</v>
      </c>
      <c r="C29" t="s">
        <v>22</v>
      </c>
      <c r="D29" t="s">
        <v>22</v>
      </c>
      <c r="E29" t="s">
        <v>19</v>
      </c>
      <c r="F29" t="s">
        <v>13</v>
      </c>
      <c r="G29" t="s">
        <v>23</v>
      </c>
      <c r="H29" s="4">
        <v>0</v>
      </c>
      <c r="I29" t="s">
        <v>15</v>
      </c>
    </row>
    <row r="30" spans="1:9">
      <c r="A30" t="s">
        <v>61</v>
      </c>
      <c r="B30" s="2">
        <v>45856</v>
      </c>
      <c r="C30" t="s">
        <v>17</v>
      </c>
      <c r="D30" t="s">
        <v>18</v>
      </c>
      <c r="E30" t="s">
        <v>12</v>
      </c>
      <c r="F30" t="s">
        <v>13</v>
      </c>
      <c r="G30" t="s">
        <v>20</v>
      </c>
      <c r="H30" s="4">
        <v>0</v>
      </c>
      <c r="I30" t="s">
        <v>15</v>
      </c>
    </row>
    <row r="31" spans="1:9">
      <c r="A31" t="s">
        <v>62</v>
      </c>
      <c r="B31" s="2">
        <v>45863</v>
      </c>
      <c r="C31" t="s">
        <v>29</v>
      </c>
      <c r="D31" t="s">
        <v>30</v>
      </c>
      <c r="E31" t="s">
        <v>31</v>
      </c>
      <c r="F31" t="s">
        <v>26</v>
      </c>
      <c r="G31" t="s">
        <v>14</v>
      </c>
      <c r="H31" s="4">
        <v>0</v>
      </c>
      <c r="I31" t="s">
        <v>15</v>
      </c>
    </row>
    <row r="32" spans="1:9">
      <c r="A32" t="s">
        <v>63</v>
      </c>
      <c r="B32" s="2">
        <v>45874</v>
      </c>
      <c r="C32" t="s">
        <v>10</v>
      </c>
      <c r="D32" t="s">
        <v>11</v>
      </c>
      <c r="E32" t="s">
        <v>25</v>
      </c>
      <c r="F32" t="s">
        <v>26</v>
      </c>
      <c r="G32" t="s">
        <v>27</v>
      </c>
      <c r="H32" s="4">
        <v>2</v>
      </c>
      <c r="I32" t="s">
        <v>32</v>
      </c>
    </row>
    <row r="33" spans="1:9">
      <c r="A33" t="s">
        <v>64</v>
      </c>
      <c r="B33" s="2">
        <v>45881</v>
      </c>
      <c r="C33" t="s">
        <v>22</v>
      </c>
      <c r="D33" t="s">
        <v>22</v>
      </c>
      <c r="E33" t="s">
        <v>12</v>
      </c>
      <c r="F33" t="s">
        <v>13</v>
      </c>
      <c r="G33" t="s">
        <v>23</v>
      </c>
      <c r="H33" s="4">
        <v>0</v>
      </c>
      <c r="I33" t="s">
        <v>15</v>
      </c>
    </row>
    <row r="34" spans="1:9">
      <c r="A34" t="s">
        <v>65</v>
      </c>
      <c r="B34" s="2">
        <v>45889</v>
      </c>
      <c r="C34" t="s">
        <v>17</v>
      </c>
      <c r="D34" t="s">
        <v>18</v>
      </c>
      <c r="E34" t="s">
        <v>12</v>
      </c>
      <c r="F34" t="s">
        <v>13</v>
      </c>
      <c r="G34" t="s">
        <v>34</v>
      </c>
      <c r="H34" s="4">
        <v>0</v>
      </c>
      <c r="I34" t="s">
        <v>15</v>
      </c>
    </row>
    <row r="35" spans="1:9">
      <c r="A35" t="s">
        <v>66</v>
      </c>
      <c r="B35" s="2">
        <v>45896</v>
      </c>
      <c r="C35" t="s">
        <v>39</v>
      </c>
      <c r="D35" t="s">
        <v>11</v>
      </c>
      <c r="E35" t="s">
        <v>19</v>
      </c>
      <c r="F35" t="s">
        <v>13</v>
      </c>
      <c r="G35" t="s">
        <v>20</v>
      </c>
      <c r="H35" s="4">
        <v>0</v>
      </c>
      <c r="I35" t="s">
        <v>15</v>
      </c>
    </row>
    <row r="36" spans="1:9">
      <c r="A36" t="s">
        <v>67</v>
      </c>
      <c r="B36" s="2">
        <v>45904</v>
      </c>
      <c r="C36" t="s">
        <v>10</v>
      </c>
      <c r="D36" t="s">
        <v>11</v>
      </c>
      <c r="E36" t="s">
        <v>12</v>
      </c>
      <c r="F36" t="s">
        <v>13</v>
      </c>
      <c r="G36" t="s">
        <v>14</v>
      </c>
      <c r="H36" s="4">
        <v>0</v>
      </c>
      <c r="I36" t="s">
        <v>15</v>
      </c>
    </row>
    <row r="37" spans="1:9">
      <c r="A37" t="s">
        <v>68</v>
      </c>
      <c r="B37" s="2">
        <v>45911</v>
      </c>
      <c r="C37" t="s">
        <v>29</v>
      </c>
      <c r="D37" t="s">
        <v>30</v>
      </c>
      <c r="E37" t="s">
        <v>25</v>
      </c>
      <c r="F37" t="s">
        <v>26</v>
      </c>
      <c r="G37" t="s">
        <v>27</v>
      </c>
      <c r="H37" s="4">
        <v>1</v>
      </c>
      <c r="I37" t="s">
        <v>32</v>
      </c>
    </row>
    <row r="38" spans="1:9">
      <c r="A38" t="s">
        <v>69</v>
      </c>
      <c r="B38" s="2">
        <v>45918</v>
      </c>
      <c r="C38" t="s">
        <v>22</v>
      </c>
      <c r="D38" t="s">
        <v>22</v>
      </c>
      <c r="E38" t="s">
        <v>12</v>
      </c>
      <c r="F38" t="s">
        <v>13</v>
      </c>
      <c r="G38" t="s">
        <v>23</v>
      </c>
      <c r="H38" s="4">
        <v>0</v>
      </c>
      <c r="I38" t="s">
        <v>15</v>
      </c>
    </row>
    <row r="39" spans="1:9">
      <c r="A39" t="s">
        <v>70</v>
      </c>
      <c r="B39" s="2">
        <v>45925</v>
      </c>
      <c r="C39" t="s">
        <v>17</v>
      </c>
      <c r="D39" t="s">
        <v>18</v>
      </c>
      <c r="E39" t="s">
        <v>12</v>
      </c>
      <c r="F39" t="s">
        <v>13</v>
      </c>
      <c r="G39" t="s">
        <v>34</v>
      </c>
      <c r="H39" s="4">
        <v>0</v>
      </c>
      <c r="I39" t="s">
        <v>15</v>
      </c>
    </row>
    <row r="40" spans="1:9">
      <c r="A40" t="s">
        <v>71</v>
      </c>
      <c r="B40" s="2">
        <v>45933</v>
      </c>
      <c r="C40" t="s">
        <v>10</v>
      </c>
      <c r="D40" t="s">
        <v>11</v>
      </c>
      <c r="E40" t="s">
        <v>41</v>
      </c>
      <c r="F40" t="s">
        <v>42</v>
      </c>
      <c r="G40" t="s">
        <v>20</v>
      </c>
      <c r="H40" s="4">
        <v>10</v>
      </c>
      <c r="I40" t="s">
        <v>43</v>
      </c>
    </row>
    <row r="41" spans="1:9">
      <c r="A41" t="s">
        <v>72</v>
      </c>
      <c r="B41" s="2">
        <v>45940</v>
      </c>
      <c r="C41" t="s">
        <v>29</v>
      </c>
      <c r="D41" t="s">
        <v>30</v>
      </c>
      <c r="E41" t="s">
        <v>12</v>
      </c>
      <c r="F41" t="s">
        <v>13</v>
      </c>
      <c r="G41" t="s">
        <v>14</v>
      </c>
      <c r="H41" s="4">
        <v>0</v>
      </c>
      <c r="I41" t="s">
        <v>15</v>
      </c>
    </row>
    <row r="42" spans="1:9">
      <c r="A42" t="s">
        <v>73</v>
      </c>
      <c r="B42" s="2">
        <v>45948</v>
      </c>
      <c r="C42" t="s">
        <v>22</v>
      </c>
      <c r="D42" t="s">
        <v>22</v>
      </c>
      <c r="E42" t="s">
        <v>19</v>
      </c>
      <c r="F42" t="s">
        <v>13</v>
      </c>
      <c r="G42" t="s">
        <v>23</v>
      </c>
      <c r="H42" s="4">
        <v>0</v>
      </c>
      <c r="I42" t="s">
        <v>15</v>
      </c>
    </row>
    <row r="43" spans="1:9">
      <c r="A43" t="s">
        <v>74</v>
      </c>
      <c r="B43" s="2">
        <v>45955</v>
      </c>
      <c r="C43" t="s">
        <v>39</v>
      </c>
      <c r="D43" t="s">
        <v>11</v>
      </c>
      <c r="E43" t="s">
        <v>12</v>
      </c>
      <c r="F43" t="s">
        <v>13</v>
      </c>
      <c r="G43" t="s">
        <v>27</v>
      </c>
      <c r="H43" s="4">
        <v>0</v>
      </c>
      <c r="I43" t="s">
        <v>15</v>
      </c>
    </row>
    <row r="44" spans="1:9">
      <c r="A44" t="s">
        <v>75</v>
      </c>
      <c r="B44" s="2">
        <v>45963</v>
      </c>
      <c r="C44" t="s">
        <v>10</v>
      </c>
      <c r="D44" t="s">
        <v>11</v>
      </c>
      <c r="E44" t="s">
        <v>25</v>
      </c>
      <c r="F44" t="s">
        <v>26</v>
      </c>
      <c r="G44" t="s">
        <v>27</v>
      </c>
      <c r="H44" s="4">
        <v>2</v>
      </c>
      <c r="I44" t="s">
        <v>32</v>
      </c>
    </row>
    <row r="45" spans="1:9">
      <c r="A45" t="s">
        <v>76</v>
      </c>
      <c r="B45" s="2">
        <v>45970</v>
      </c>
      <c r="C45" t="s">
        <v>17</v>
      </c>
      <c r="D45" t="s">
        <v>18</v>
      </c>
      <c r="E45" t="s">
        <v>12</v>
      </c>
      <c r="F45" t="s">
        <v>13</v>
      </c>
      <c r="G45" t="s">
        <v>34</v>
      </c>
      <c r="H45" s="4">
        <v>0</v>
      </c>
      <c r="I45" t="s">
        <v>15</v>
      </c>
    </row>
    <row r="46" spans="1:9">
      <c r="A46" t="s">
        <v>77</v>
      </c>
      <c r="B46" s="2">
        <v>45977</v>
      </c>
      <c r="C46" t="s">
        <v>29</v>
      </c>
      <c r="D46" t="s">
        <v>30</v>
      </c>
      <c r="E46" t="s">
        <v>31</v>
      </c>
      <c r="F46" t="s">
        <v>26</v>
      </c>
      <c r="G46" t="s">
        <v>14</v>
      </c>
      <c r="H46" s="4">
        <v>0</v>
      </c>
      <c r="I46" t="s">
        <v>15</v>
      </c>
    </row>
    <row r="47" spans="1:9">
      <c r="A47" t="s">
        <v>78</v>
      </c>
      <c r="B47" s="2">
        <v>45984</v>
      </c>
      <c r="C47" t="s">
        <v>22</v>
      </c>
      <c r="D47" t="s">
        <v>22</v>
      </c>
      <c r="E47" t="s">
        <v>12</v>
      </c>
      <c r="F47" t="s">
        <v>13</v>
      </c>
      <c r="G47" t="s">
        <v>23</v>
      </c>
      <c r="H47" s="4">
        <v>0</v>
      </c>
      <c r="I47" t="s">
        <v>15</v>
      </c>
    </row>
    <row r="48" spans="1:9">
      <c r="A48" t="s">
        <v>79</v>
      </c>
      <c r="B48" s="2">
        <v>45992</v>
      </c>
      <c r="C48" t="s">
        <v>10</v>
      </c>
      <c r="D48" t="s">
        <v>11</v>
      </c>
      <c r="E48" t="s">
        <v>19</v>
      </c>
      <c r="F48" t="s">
        <v>13</v>
      </c>
      <c r="G48" t="s">
        <v>20</v>
      </c>
      <c r="H48" s="4">
        <v>0</v>
      </c>
      <c r="I48" t="s">
        <v>15</v>
      </c>
    </row>
    <row r="49" spans="1:9">
      <c r="A49" t="s">
        <v>80</v>
      </c>
      <c r="B49" s="2">
        <v>45999</v>
      </c>
      <c r="C49" t="s">
        <v>17</v>
      </c>
      <c r="D49" t="s">
        <v>18</v>
      </c>
      <c r="E49" t="s">
        <v>12</v>
      </c>
      <c r="F49" t="s">
        <v>13</v>
      </c>
      <c r="G49" t="s">
        <v>34</v>
      </c>
      <c r="H49" s="4">
        <v>0</v>
      </c>
      <c r="I49" t="s">
        <v>15</v>
      </c>
    </row>
    <row r="50" spans="1:9">
      <c r="A50" t="s">
        <v>81</v>
      </c>
      <c r="B50" s="2">
        <v>46006</v>
      </c>
      <c r="C50" t="s">
        <v>29</v>
      </c>
      <c r="D50" t="s">
        <v>30</v>
      </c>
      <c r="E50" t="s">
        <v>25</v>
      </c>
      <c r="F50" t="s">
        <v>26</v>
      </c>
      <c r="G50" t="s">
        <v>27</v>
      </c>
      <c r="H50" s="4">
        <v>2</v>
      </c>
      <c r="I50" t="s">
        <v>32</v>
      </c>
    </row>
    <row r="51" spans="1:9">
      <c r="A51" t="s">
        <v>82</v>
      </c>
      <c r="B51" s="2">
        <v>46013</v>
      </c>
      <c r="C51" t="s">
        <v>10</v>
      </c>
      <c r="D51" t="s">
        <v>11</v>
      </c>
      <c r="E51" t="s">
        <v>12</v>
      </c>
      <c r="F51" t="s">
        <v>13</v>
      </c>
      <c r="G51" t="s">
        <v>14</v>
      </c>
      <c r="H51" s="4">
        <v>0</v>
      </c>
      <c r="I51" t="s">
        <v>15</v>
      </c>
    </row>
  </sheetData>
  <conditionalFormatting sqref="A1:A1048576">
    <cfRule type="duplicateValues" dxfId="15" priority="7"/>
  </conditionalFormatting>
  <conditionalFormatting sqref="F1:F1048576">
    <cfRule type="containsText" dxfId="14" priority="6" operator="containsText" text="High">
      <formula>NOT(ISERROR(SEARCH("High",F1)))</formula>
    </cfRule>
    <cfRule type="containsText" dxfId="13" priority="5" operator="containsText" text="Medium">
      <formula>NOT(ISERROR(SEARCH("Medium",F1)))</formula>
    </cfRule>
    <cfRule type="containsText" dxfId="12" priority="4" operator="containsText" text="Low">
      <formula>NOT(ISERROR(SEARCH("Low",F1)))</formula>
    </cfRule>
  </conditionalFormatting>
  <conditionalFormatting sqref="I1:I1048576">
    <cfRule type="containsText" dxfId="11" priority="3" operator="containsText" text="Overdue">
      <formula>NOT(ISERROR(SEARCH("Overdue",I1)))</formula>
    </cfRule>
    <cfRule type="containsText" dxfId="10" priority="2" operator="containsText" text="In Progress">
      <formula>NOT(ISERROR(SEARCH("In Progress",I1)))</formula>
    </cfRule>
    <cfRule type="containsText" dxfId="9" priority="1" operator="containsText" text="Closed">
      <formula>NOT(ISERROR(SEARCH("Closed",I1)))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B17"/>
  <sheetViews>
    <sheetView workbookViewId="0">
      <selection activeCell="C14" sqref="C14"/>
    </sheetView>
  </sheetViews>
  <sheetFormatPr defaultRowHeight="15"/>
  <cols>
    <col min="1" max="1" width="20.5703125" style="5" bestFit="1" customWidth="1"/>
    <col min="2" max="2" width="17" style="5" customWidth="1"/>
  </cols>
  <sheetData>
    <row r="1" spans="1:2" ht="21">
      <c r="A1" s="15" t="s">
        <v>83</v>
      </c>
      <c r="B1" s="15"/>
    </row>
    <row r="3" spans="1:2">
      <c r="A3" s="6" t="s">
        <v>84</v>
      </c>
      <c r="B3" s="6" t="s">
        <v>85</v>
      </c>
    </row>
    <row r="4" spans="1:2">
      <c r="A4" s="6" t="s">
        <v>86</v>
      </c>
      <c r="B4" s="6">
        <f>COUNTA(HSE_Data[Incident_ID])</f>
        <v>50</v>
      </c>
    </row>
    <row r="5" spans="1:2">
      <c r="A5" s="6" t="s">
        <v>87</v>
      </c>
      <c r="B5" s="6">
        <f>COUNTIF(HSE_Data[Event_Type],"Near Miss")</f>
        <v>26</v>
      </c>
    </row>
    <row r="6" spans="1:2">
      <c r="A6" s="6" t="s">
        <v>88</v>
      </c>
      <c r="B6" s="6">
        <f>COUNTIF(HSE_Data[Event_Type],"Lost Time Injury")</f>
        <v>3</v>
      </c>
    </row>
    <row r="7" spans="1:2">
      <c r="A7" s="6" t="s">
        <v>89</v>
      </c>
      <c r="B7" s="6">
        <f>SUM(HSE_Data[Lost_Workdays])</f>
        <v>37</v>
      </c>
    </row>
    <row r="8" spans="1:2">
      <c r="A8" s="6" t="s">
        <v>90</v>
      </c>
      <c r="B8" s="6">
        <f>COUNTIF(HSE_Data[Severity],"High")</f>
        <v>3</v>
      </c>
    </row>
    <row r="9" spans="1:2">
      <c r="A9" s="6" t="s">
        <v>91</v>
      </c>
      <c r="B9" s="6">
        <f>COUNTIF(HSE_Data[Action_Status],"In Progress")</f>
        <v>8</v>
      </c>
    </row>
    <row r="10" spans="1:2">
      <c r="A10" s="6" t="s">
        <v>92</v>
      </c>
      <c r="B10" s="6">
        <f>COUNTIF(HSE_Data[Action_Status],"Overdue")</f>
        <v>3</v>
      </c>
    </row>
    <row r="11" spans="1:2">
      <c r="A11" s="6" t="s">
        <v>93</v>
      </c>
      <c r="B11" s="7">
        <f>COUNTIF(HSE_Data[Action_Status],"Closed")</f>
        <v>39</v>
      </c>
    </row>
    <row r="12" spans="1:2">
      <c r="A12" s="6" t="s">
        <v>99</v>
      </c>
      <c r="B12" s="8">
        <f>B5/B4</f>
        <v>0.52</v>
      </c>
    </row>
    <row r="13" spans="1:2">
      <c r="A13" s="9" t="s">
        <v>94</v>
      </c>
      <c r="B13" s="9"/>
    </row>
    <row r="14" spans="1:2">
      <c r="A14" s="6" t="s">
        <v>95</v>
      </c>
      <c r="B14" s="6">
        <f>COUNTA(HSE_Data[Incident_ID])</f>
        <v>50</v>
      </c>
    </row>
    <row r="15" spans="1:2">
      <c r="A15" s="6" t="s">
        <v>96</v>
      </c>
      <c r="B15" s="6">
        <f>ROWS(HSE_Data[Incident_ID])-SUMPRODUCT(1/COUNTIF(HSE_Data[Incident_ID],HSE_Data[Incident_ID]))</f>
        <v>0</v>
      </c>
    </row>
    <row r="16" spans="1:2">
      <c r="A16" s="6" t="s">
        <v>97</v>
      </c>
      <c r="B16" s="6">
        <f>COUNTBLANK(HSE_Data[Incident_ID])</f>
        <v>0</v>
      </c>
    </row>
    <row r="17" spans="1:2">
      <c r="A17" s="6" t="s">
        <v>98</v>
      </c>
      <c r="B17" s="6">
        <f>COUNTBLANK(HSE_Data[Date])</f>
        <v>0</v>
      </c>
    </row>
  </sheetData>
  <mergeCells count="1">
    <mergeCell ref="A1:B1"/>
  </mergeCells>
  <conditionalFormatting sqref="B6">
    <cfRule type="cellIs" dxfId="5" priority="3" operator="greaterThan">
      <formula>0</formula>
    </cfRule>
  </conditionalFormatting>
  <conditionalFormatting sqref="B10">
    <cfRule type="cellIs" dxfId="4" priority="2" operator="greaterThan">
      <formula>0</formula>
    </cfRule>
  </conditionalFormatting>
  <conditionalFormatting sqref="B1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H4"/>
  <sheetViews>
    <sheetView workbookViewId="0">
      <selection activeCell="M25" sqref="M25"/>
    </sheetView>
  </sheetViews>
  <sheetFormatPr defaultRowHeight="15"/>
  <cols>
    <col min="1" max="1" width="11.85546875" bestFit="1" customWidth="1"/>
    <col min="3" max="3" width="11.85546875" bestFit="1" customWidth="1"/>
    <col min="5" max="5" width="9.28515625" bestFit="1" customWidth="1"/>
    <col min="7" max="7" width="11.85546875" bestFit="1" customWidth="1"/>
  </cols>
  <sheetData>
    <row r="1" spans="1:8" ht="21">
      <c r="A1" s="16" t="s">
        <v>116</v>
      </c>
      <c r="B1" s="16"/>
      <c r="C1" s="16"/>
      <c r="D1" s="16"/>
      <c r="E1" s="16"/>
      <c r="F1" s="16"/>
      <c r="G1" s="16"/>
      <c r="H1" s="16"/>
    </row>
    <row r="3" spans="1:8">
      <c r="A3" t="s">
        <v>117</v>
      </c>
      <c r="C3" t="s">
        <v>87</v>
      </c>
      <c r="E3" t="s">
        <v>88</v>
      </c>
      <c r="G3" t="s">
        <v>118</v>
      </c>
    </row>
    <row r="4" spans="1:8" ht="23.25">
      <c r="A4" s="14">
        <f>KPI!B4</f>
        <v>50</v>
      </c>
      <c r="B4" s="14"/>
      <c r="C4" s="14">
        <f>KPI!B5</f>
        <v>26</v>
      </c>
      <c r="D4" s="14"/>
      <c r="E4" s="14">
        <f>KPI!B6</f>
        <v>3</v>
      </c>
      <c r="F4" s="14"/>
      <c r="G4" s="14">
        <f>KPI!B7</f>
        <v>37</v>
      </c>
    </row>
  </sheetData>
  <mergeCells count="1">
    <mergeCell ref="A1:H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Pivot_Analysis</vt:lpstr>
      <vt:lpstr>HSE_Data</vt:lpstr>
      <vt:lpstr>KPI</vt:lpstr>
      <vt:lpstr>Dashboard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2026-10-08T20:55:18Z</dcterms:created>
  <dcterms:modified xsi:type="dcterms:W3CDTF">2026-10-09T00:46:41Z</dcterms:modified>
</cp:coreProperties>
</file>